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uartgow/GitHub/CDT_Working/NLP_Project/"/>
    </mc:Choice>
  </mc:AlternateContent>
  <xr:revisionPtr revIDLastSave="0" documentId="13_ncr:1_{AE4AFB91-073F-3749-85D7-E9C417B09E74}" xr6:coauthVersionLast="47" xr6:coauthVersionMax="47" xr10:uidLastSave="{00000000-0000-0000-0000-000000000000}"/>
  <bookViews>
    <workbookView xWindow="14600" yWindow="6600" windowWidth="31140" windowHeight="17440" xr2:uid="{8239F54A-1A39-134F-B99F-18E3C2531D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I8" i="1"/>
  <c r="H8" i="1"/>
  <c r="G8" i="1"/>
  <c r="J6" i="1"/>
  <c r="I6" i="1"/>
  <c r="H6" i="1"/>
  <c r="G6" i="1"/>
</calcChain>
</file>

<file path=xl/sharedStrings.xml><?xml version="1.0" encoding="utf-8"?>
<sst xmlns="http://schemas.openxmlformats.org/spreadsheetml/2006/main" count="18" uniqueCount="13">
  <si>
    <t>Clean</t>
  </si>
  <si>
    <t>Model Performance</t>
  </si>
  <si>
    <t>Accuracy</t>
  </si>
  <si>
    <t>Specificity</t>
  </si>
  <si>
    <t>Test</t>
  </si>
  <si>
    <t>Adv_PGD</t>
  </si>
  <si>
    <t>Model</t>
  </si>
  <si>
    <t>Base</t>
  </si>
  <si>
    <t>Tuned</t>
  </si>
  <si>
    <t>PGD Trained</t>
  </si>
  <si>
    <t>Robustness Gap</t>
  </si>
  <si>
    <t>Attack Success %</t>
  </si>
  <si>
    <t>The PGD trained model does not impact overall accuracy BUT the FP rate has deteriorated significantly!!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</si>
</sst>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Palatino"/>
      <family val="1"/>
    </font>
    <font>
      <sz val="11"/>
      <color theme="1"/>
      <name val="Palatino"/>
      <family val="1"/>
    </font>
    <font>
      <b/>
      <sz val="12"/>
      <color theme="1"/>
      <name val="Palatino"/>
      <family val="1"/>
    </font>
    <font>
      <i/>
      <sz val="12"/>
      <color theme="1"/>
      <name val="Palatino"/>
      <family val="1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0" borderId="0" xfId="0" applyFont="1" applyBorder="1"/>
    <xf numFmtId="2" fontId="1" fillId="4" borderId="5" xfId="0" applyNumberFormat="1" applyFont="1" applyFill="1" applyBorder="1" applyAlignment="1">
      <alignment vertical="center"/>
    </xf>
    <xf numFmtId="9" fontId="1" fillId="4" borderId="5" xfId="0" applyNumberFormat="1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2" fontId="1" fillId="0" borderId="0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1" fillId="3" borderId="2" xfId="0" applyFont="1" applyFill="1" applyBorder="1"/>
    <xf numFmtId="0" fontId="3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/>
    <xf numFmtId="0" fontId="1" fillId="3" borderId="5" xfId="0" applyFont="1" applyFill="1" applyBorder="1"/>
    <xf numFmtId="0" fontId="2" fillId="3" borderId="5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1" fillId="3" borderId="2" xfId="0" applyFont="1" applyFill="1" applyBorder="1" applyAlignment="1">
      <alignment vertical="center"/>
    </xf>
    <xf numFmtId="2" fontId="1" fillId="3" borderId="2" xfId="0" applyNumberFormat="1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2" fontId="1" fillId="3" borderId="5" xfId="0" applyNumberFormat="1" applyFont="1" applyFill="1" applyBorder="1" applyAlignment="1">
      <alignment vertical="center"/>
    </xf>
    <xf numFmtId="9" fontId="1" fillId="3" borderId="5" xfId="0" applyNumberFormat="1" applyFont="1" applyFill="1" applyBorder="1" applyAlignment="1">
      <alignment vertical="center"/>
    </xf>
    <xf numFmtId="9" fontId="1" fillId="3" borderId="6" xfId="0" applyNumberFormat="1" applyFont="1" applyFill="1" applyBorder="1" applyAlignment="1">
      <alignment vertical="center"/>
    </xf>
    <xf numFmtId="0" fontId="1" fillId="2" borderId="1" xfId="0" applyFont="1" applyFill="1" applyBorder="1"/>
    <xf numFmtId="0" fontId="1" fillId="2" borderId="2" xfId="0" applyFont="1" applyFill="1" applyBorder="1" applyAlignment="1">
      <alignment vertical="center"/>
    </xf>
    <xf numFmtId="2" fontId="1" fillId="2" borderId="2" xfId="0" applyNumberFormat="1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/>
    <xf numFmtId="0" fontId="1" fillId="2" borderId="5" xfId="0" applyFont="1" applyFill="1" applyBorder="1" applyAlignment="1">
      <alignment vertical="center"/>
    </xf>
    <xf numFmtId="2" fontId="1" fillId="2" borderId="5" xfId="0" applyNumberFormat="1" applyFont="1" applyFill="1" applyBorder="1" applyAlignment="1">
      <alignment vertical="center"/>
    </xf>
    <xf numFmtId="9" fontId="1" fillId="2" borderId="5" xfId="0" applyNumberFormat="1" applyFont="1" applyFill="1" applyBorder="1" applyAlignment="1">
      <alignment vertical="center"/>
    </xf>
    <xf numFmtId="9" fontId="1" fillId="2" borderId="6" xfId="0" applyNumberFormat="1" applyFont="1" applyFill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2" fontId="4" fillId="0" borderId="0" xfId="0" applyNumberFormat="1" applyFont="1" applyBorder="1" applyAlignment="1">
      <alignment vertic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BFF9D-FC72-DD45-A491-CD81717F7705}">
  <dimension ref="A2:O11"/>
  <sheetViews>
    <sheetView showGridLines="0" tabSelected="1" zoomScale="120" zoomScaleNormal="120" workbookViewId="0">
      <selection activeCell="E19" sqref="E19"/>
    </sheetView>
  </sheetViews>
  <sheetFormatPr baseColWidth="10" defaultRowHeight="16" x14ac:dyDescent="0.2"/>
  <cols>
    <col min="1" max="1" width="10.83203125" style="1"/>
    <col min="2" max="2" width="20.83203125" style="1" customWidth="1"/>
    <col min="3" max="5" width="10.83203125" style="1"/>
    <col min="6" max="6" width="1.6640625" style="1" customWidth="1"/>
    <col min="7" max="7" width="5.5" style="1" customWidth="1"/>
    <col min="8" max="8" width="6" style="1" customWidth="1"/>
    <col min="9" max="9" width="5.83203125" style="1" customWidth="1"/>
    <col min="10" max="10" width="5" style="1" customWidth="1"/>
    <col min="11" max="11" width="1.1640625" style="1" customWidth="1"/>
    <col min="12" max="12" width="10.1640625" style="1" customWidth="1"/>
    <col min="13" max="13" width="2" style="1" customWidth="1"/>
    <col min="14" max="16384" width="10.83203125" style="1"/>
  </cols>
  <sheetData>
    <row r="2" spans="1:15" x14ac:dyDescent="0.2">
      <c r="B2" s="8" t="s">
        <v>6</v>
      </c>
      <c r="C2" s="9" t="s">
        <v>4</v>
      </c>
      <c r="D2" s="10" t="s">
        <v>1</v>
      </c>
      <c r="E2" s="10"/>
      <c r="F2" s="11"/>
      <c r="G2" s="10" t="s">
        <v>10</v>
      </c>
      <c r="H2" s="10"/>
      <c r="I2" s="10"/>
      <c r="J2" s="10"/>
      <c r="K2" s="11"/>
      <c r="L2" s="12" t="s">
        <v>11</v>
      </c>
    </row>
    <row r="3" spans="1:15" x14ac:dyDescent="0.2">
      <c r="B3" s="13"/>
      <c r="C3" s="14"/>
      <c r="D3" s="15" t="s">
        <v>2</v>
      </c>
      <c r="E3" s="15" t="s">
        <v>3</v>
      </c>
      <c r="F3" s="14"/>
      <c r="G3" s="16" t="s">
        <v>2</v>
      </c>
      <c r="H3" s="16"/>
      <c r="I3" s="16" t="s">
        <v>3</v>
      </c>
      <c r="J3" s="16"/>
      <c r="K3" s="14"/>
      <c r="L3" s="17"/>
    </row>
    <row r="4" spans="1:15" ht="18" customHeight="1" x14ac:dyDescent="0.2">
      <c r="B4" s="35" t="s">
        <v>7</v>
      </c>
      <c r="C4" s="36" t="s">
        <v>0</v>
      </c>
      <c r="D4" s="37">
        <v>0.93799999999999994</v>
      </c>
      <c r="E4" s="37">
        <v>0.96399999999999997</v>
      </c>
      <c r="F4" s="6"/>
      <c r="G4" s="6"/>
      <c r="H4" s="5"/>
      <c r="I4" s="5"/>
      <c r="J4" s="5"/>
      <c r="K4" s="5"/>
      <c r="L4" s="7"/>
    </row>
    <row r="5" spans="1:15" ht="21" customHeight="1" x14ac:dyDescent="0.2">
      <c r="B5" s="18" t="s">
        <v>8</v>
      </c>
      <c r="C5" s="19" t="s">
        <v>0</v>
      </c>
      <c r="D5" s="20">
        <v>0.93659999999999999</v>
      </c>
      <c r="E5" s="20">
        <v>0.95</v>
      </c>
      <c r="F5" s="20"/>
      <c r="G5" s="20"/>
      <c r="H5" s="19"/>
      <c r="I5" s="19"/>
      <c r="J5" s="19"/>
      <c r="K5" s="19"/>
      <c r="L5" s="21"/>
    </row>
    <row r="6" spans="1:15" ht="21" customHeight="1" x14ac:dyDescent="0.2">
      <c r="B6" s="13"/>
      <c r="C6" s="22" t="s">
        <v>5</v>
      </c>
      <c r="D6" s="23">
        <v>0.50800000000000001</v>
      </c>
      <c r="E6" s="23">
        <v>0.434</v>
      </c>
      <c r="F6" s="23"/>
      <c r="G6" s="23">
        <f>D5-D6</f>
        <v>0.42859999999999998</v>
      </c>
      <c r="H6" s="24">
        <f>(D5-D6)/D5</f>
        <v>0.45761264146914371</v>
      </c>
      <c r="I6" s="23">
        <f>E5-E6</f>
        <v>0.51600000000000001</v>
      </c>
      <c r="J6" s="24">
        <f>(E5-E6)/E5</f>
        <v>0.54315789473684217</v>
      </c>
      <c r="K6" s="22"/>
      <c r="L6" s="25">
        <v>0.48970000000000002</v>
      </c>
    </row>
    <row r="7" spans="1:15" ht="21" customHeight="1" x14ac:dyDescent="0.2">
      <c r="B7" s="26" t="s">
        <v>9</v>
      </c>
      <c r="C7" s="27" t="s">
        <v>0</v>
      </c>
      <c r="D7" s="28">
        <v>0.93100000000000005</v>
      </c>
      <c r="E7" s="28">
        <v>0.92600000000000005</v>
      </c>
      <c r="F7" s="28"/>
      <c r="G7" s="28"/>
      <c r="H7" s="27"/>
      <c r="I7" s="27"/>
      <c r="J7" s="27"/>
      <c r="K7" s="27"/>
      <c r="L7" s="29"/>
    </row>
    <row r="8" spans="1:15" ht="21" customHeight="1" x14ac:dyDescent="0.2">
      <c r="B8" s="30"/>
      <c r="C8" s="31" t="s">
        <v>5</v>
      </c>
      <c r="D8" s="32">
        <v>0.49099999999999999</v>
      </c>
      <c r="E8" s="3">
        <v>0.16250000000000001</v>
      </c>
      <c r="F8" s="32"/>
      <c r="G8" s="32">
        <f>D7-D8</f>
        <v>0.44000000000000006</v>
      </c>
      <c r="H8" s="33">
        <f>(D7-D8)/D7</f>
        <v>0.47261009667024706</v>
      </c>
      <c r="I8" s="3">
        <f>E7-E8</f>
        <v>0.76350000000000007</v>
      </c>
      <c r="J8" s="4">
        <f>(E7-E8)/E7</f>
        <v>0.8245140388768899</v>
      </c>
      <c r="K8" s="31"/>
      <c r="L8" s="34">
        <v>0.50860000000000005</v>
      </c>
    </row>
    <row r="9" spans="1:15" ht="8" customHeight="1" x14ac:dyDescent="0.2"/>
    <row r="10" spans="1:15" x14ac:dyDescent="0.2">
      <c r="A10" s="2"/>
      <c r="B10" s="38" t="s">
        <v>12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ht="4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</sheetData>
  <mergeCells count="5">
    <mergeCell ref="D2:E2"/>
    <mergeCell ref="G2:J2"/>
    <mergeCell ref="G3:H3"/>
    <mergeCell ref="I3:J3"/>
    <mergeCell ref="L2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 Gow</dc:creator>
  <cp:lastModifiedBy>Stuart Gow</cp:lastModifiedBy>
  <dcterms:created xsi:type="dcterms:W3CDTF">2025-10-23T07:43:27Z</dcterms:created>
  <dcterms:modified xsi:type="dcterms:W3CDTF">2025-10-23T08:55:48Z</dcterms:modified>
</cp:coreProperties>
</file>